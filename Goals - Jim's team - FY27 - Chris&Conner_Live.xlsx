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alloy\Goals Tableau\"/>
    </mc:Choice>
  </mc:AlternateContent>
  <xr:revisionPtr revIDLastSave="0" documentId="8_{1D7F84B7-8F54-4B10-8E66-7C5F6DB9A578}" xr6:coauthVersionLast="47" xr6:coauthVersionMax="47" xr10:uidLastSave="{00000000-0000-0000-0000-000000000000}"/>
  <bookViews>
    <workbookView xWindow="28680" yWindow="4590" windowWidth="29040" windowHeight="15720" xr2:uid="{03261289-2343-4D97-9D99-AA09F21FEF7B}"/>
  </bookViews>
  <sheets>
    <sheet name="FY26 Data Mgmt Grid" sheetId="1" r:id="rId1"/>
    <sheet name="Ideas" sheetId="2" r:id="rId2"/>
  </sheets>
  <definedNames>
    <definedName name="_xlnm._FilterDatabase" localSheetId="0" hidden="1">'FY26 Data Mgmt Grid'!$A$3:$Y$16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" l="1"/>
  <c r="D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tc={E6793FC3-CEA9-47E8-9538-31A063596C76}</author>
  </authors>
  <commentList>
    <comment ref="D3" authorId="0" shapeId="0" xr:uid="{E6793FC3-CEA9-47E8-9538-31A063596C76}">
      <text>
        <t>[Threaded comment]
Your version of Excel allows you to read this threaded comment; however, any edits to it will get removed if the file is opened in a newer version of Excel. Learn more: https://go.microsoft.com/fwlink/?linkid=870924
Comment:
    Marcia's team is at 20% for Core (based on what I asked her to do in Jan22)</t>
      </text>
    </comment>
  </commentList>
</comments>
</file>

<file path=xl/sharedStrings.xml><?xml version="1.0" encoding="utf-8"?>
<sst xmlns="http://schemas.openxmlformats.org/spreadsheetml/2006/main" count="206" uniqueCount="153">
  <si>
    <t>FY27 Discretionary Grid</t>
  </si>
  <si>
    <t>Measurement</t>
  </si>
  <si>
    <t>Core Goal</t>
  </si>
  <si>
    <t>Mgr</t>
  </si>
  <si>
    <t>Team Member</t>
  </si>
  <si>
    <t>Weight</t>
  </si>
  <si>
    <t>Comments</t>
  </si>
  <si>
    <t>Role Specific Goal</t>
  </si>
  <si>
    <t>Supports:</t>
  </si>
  <si>
    <t>Service Levels (SLA)</t>
  </si>
  <si>
    <r>
      <rPr>
        <b/>
        <sz val="11"/>
        <rFont val="Calibri"/>
        <family val="2"/>
        <scheme val="minor"/>
      </rPr>
      <t>FY26</t>
    </r>
    <r>
      <rPr>
        <b/>
        <sz val="11"/>
        <color theme="1"/>
        <rFont val="Calibri"/>
        <family val="2"/>
        <scheme val="minor"/>
      </rPr>
      <t xml:space="preserve"> Baseline</t>
    </r>
  </si>
  <si>
    <t>Threshold
50%</t>
  </si>
  <si>
    <t>Target
100%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</si>
  <si>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</si>
  <si>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</si>
  <si>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</si>
  <si>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</si>
  <si>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</si>
  <si>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</si>
  <si>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</si>
  <si>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</si>
  <si>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</si>
  <si>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</si>
  <si>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</si>
  <si>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</si>
  <si>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Final FY Results</t>
  </si>
  <si>
    <t>Achievement Percentage %</t>
  </si>
  <si>
    <t>Notes</t>
  </si>
  <si>
    <t>Core</t>
  </si>
  <si>
    <t>Jim/Chris</t>
  </si>
  <si>
    <t>Chris Kasischke</t>
  </si>
  <si>
    <t>Based on the results at the end of the fiscal year</t>
  </si>
  <si>
    <r>
      <rPr>
        <b/>
        <sz val="11"/>
        <color theme="1"/>
        <rFont val="Calibri"/>
        <family val="2"/>
        <scheme val="minor"/>
      </rPr>
      <t>Utilize AI to Improve Data Quality or Operational Efficiencies.</t>
    </r>
    <r>
      <rPr>
        <sz val="11"/>
        <color theme="1"/>
        <rFont val="Calibri"/>
        <family val="2"/>
        <scheme val="minor"/>
      </rPr>
      <t xml:space="preserve">
Research and collaborate with Internal or External organizations to determine how AI tools may improve data quality or efficiency.  Propose at least 2 co</t>
    </r>
    <r>
      <rPr>
        <sz val="11"/>
        <rFont val="Calibri"/>
        <family val="2"/>
        <scheme val="minor"/>
      </rPr>
      <t>ncepts and implement one.</t>
    </r>
  </si>
  <si>
    <t>Propose at least 2 concepts</t>
  </si>
  <si>
    <t>Prove out the proposed concepts</t>
  </si>
  <si>
    <t>T.B.D</t>
  </si>
  <si>
    <t>Keep</t>
  </si>
  <si>
    <t>Non-Core</t>
  </si>
  <si>
    <t>Jim</t>
  </si>
  <si>
    <t>Subjective based on manager assessment of results achieved</t>
  </si>
  <si>
    <r>
      <rPr>
        <b/>
        <sz val="11"/>
        <color theme="1"/>
        <rFont val="Calibri"/>
        <family val="2"/>
        <scheme val="minor"/>
      </rPr>
      <t>1) Support NII</t>
    </r>
    <r>
      <rPr>
        <sz val="11"/>
        <color theme="1"/>
        <rFont val="Calibri"/>
        <family val="2"/>
        <scheme val="minor"/>
      </rPr>
      <t xml:space="preserve"> from PO, NPC, Market Basket, Rx, Dist. spend, GUDID, Internal Teams &amp; Product Catalog Requests
</t>
    </r>
    <r>
      <rPr>
        <sz val="11"/>
        <rFont val="Calibri"/>
        <family val="2"/>
        <scheme val="minor"/>
      </rPr>
      <t xml:space="preserve">2) Keep Incorrect </t>
    </r>
    <r>
      <rPr>
        <b/>
        <sz val="11"/>
        <rFont val="Calibri"/>
        <family val="2"/>
        <scheme val="minor"/>
      </rPr>
      <t xml:space="preserve">Vend_Types and UOM Orphan PINS </t>
    </r>
    <r>
      <rPr>
        <sz val="11"/>
        <rFont val="Calibri"/>
        <family val="2"/>
        <scheme val="minor"/>
      </rPr>
      <t>at or below June 2024 levels.</t>
    </r>
    <r>
      <rPr>
        <sz val="11"/>
        <color rgb="FFFF0000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3) </t>
    </r>
    <r>
      <rPr>
        <sz val="11"/>
        <color theme="1"/>
        <rFont val="Calibri"/>
        <family val="2"/>
        <scheme val="minor"/>
      </rPr>
      <t>Support</t>
    </r>
    <r>
      <rPr>
        <b/>
        <sz val="11"/>
        <color theme="1"/>
        <rFont val="Calibri"/>
        <family val="2"/>
        <scheme val="minor"/>
      </rPr>
      <t xml:space="preserve"> ENRI/Fusion &amp; PIM alignment development </t>
    </r>
    <r>
      <rPr>
        <sz val="11"/>
        <color theme="1"/>
        <rFont val="Calibri"/>
        <family val="2"/>
        <scheme val="minor"/>
      </rPr>
      <t>work
4)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Review</t>
    </r>
    <r>
      <rPr>
        <b/>
        <sz val="11"/>
        <color theme="1"/>
        <rFont val="Calibri"/>
        <family val="2"/>
        <scheme val="minor"/>
      </rPr>
      <t xml:space="preserve"> potential duplicates </t>
    </r>
    <r>
      <rPr>
        <sz val="11"/>
        <color theme="1"/>
        <rFont val="Calibri"/>
        <family val="2"/>
        <scheme val="minor"/>
      </rPr>
      <t xml:space="preserve">on different reference numbers.
5) Support </t>
    </r>
    <r>
      <rPr>
        <b/>
        <sz val="11"/>
        <color theme="1"/>
        <rFont val="Calibri"/>
        <family val="2"/>
        <scheme val="minor"/>
      </rPr>
      <t>vendor sync in PIL</t>
    </r>
    <r>
      <rPr>
        <sz val="11"/>
        <color theme="1"/>
        <rFont val="Calibri"/>
        <family val="2"/>
        <scheme val="minor"/>
      </rPr>
      <t xml:space="preserve"> (add EINs to "critical" PIL vendors &amp; sync hierarchy), and other PIL health needs
6) Monitor Daily FUSN metric report - resolve any issues that arise
7) Reconcile the UOMs between Fusion and PIM so they stay in sync
8) </t>
    </r>
    <r>
      <rPr>
        <b/>
        <sz val="11"/>
        <color theme="1"/>
        <rFont val="Calibri"/>
        <family val="2"/>
        <scheme val="minor"/>
      </rPr>
      <t>Develop staff</t>
    </r>
    <r>
      <rPr>
        <sz val="11"/>
        <color theme="1"/>
        <rFont val="Calibri"/>
        <family val="2"/>
        <scheme val="minor"/>
      </rPr>
      <t xml:space="preserve"> and succession planning.  Demonstrates core leadership competencies
9) Update existing </t>
    </r>
    <r>
      <rPr>
        <b/>
        <sz val="11"/>
        <color theme="1"/>
        <rFont val="Calibri"/>
        <family val="2"/>
        <scheme val="minor"/>
      </rPr>
      <t>process mapping documents</t>
    </r>
    <r>
      <rPr>
        <sz val="11"/>
        <color theme="1"/>
        <rFont val="Calibri"/>
        <family val="2"/>
        <scheme val="minor"/>
      </rPr>
      <t xml:space="preserve"> from the SAIP Data Governance project.</t>
    </r>
  </si>
  <si>
    <t>Based on the results at the end of the fiscal year (for items in system &gt;3wks before end of FY)</t>
  </si>
  <si>
    <r>
      <rPr>
        <b/>
        <sz val="11"/>
        <color theme="1"/>
        <rFont val="Calibri"/>
        <family val="2"/>
        <scheme val="minor"/>
      </rPr>
      <t>Food Distributor NII</t>
    </r>
    <r>
      <rPr>
        <sz val="11"/>
        <color theme="1"/>
        <rFont val="Calibri"/>
        <family val="2"/>
        <scheme val="minor"/>
      </rPr>
      <t xml:space="preserve">
Aggregate 12 mos unmatched spend by Distributor and proactively add Mfr items for relevant mfr items.</t>
    </r>
  </si>
  <si>
    <t>New</t>
  </si>
  <si>
    <t>&gt;$500K - 50
&gt;$250K - 100</t>
  </si>
  <si>
    <t>0 &gt; $500K per vendor</t>
  </si>
  <si>
    <t>5 &gt; $250K per vendor</t>
  </si>
  <si>
    <t>&gt;$500K = 8
&gt;$250K = 23</t>
  </si>
  <si>
    <t>Chris</t>
  </si>
  <si>
    <r>
      <t xml:space="preserve">Pharmacy Wholesaler NII
</t>
    </r>
    <r>
      <rPr>
        <sz val="11"/>
        <color theme="1"/>
        <rFont val="Calibri"/>
        <family val="2"/>
        <scheme val="minor"/>
      </rPr>
      <t>Aggregate 12 mos unmatched spend by Pharmacy Wholesaler and proactively add Mfr items for relevant mfr items.</t>
    </r>
  </si>
  <si>
    <t>&gt;$1M - 35
&gt;$500K - 61</t>
  </si>
  <si>
    <t>0 &gt; $1M per vendor</t>
  </si>
  <si>
    <t>5 &gt; $500K per vendor</t>
  </si>
  <si>
    <t>&gt;$1M = 196
&gt;$500K = 110</t>
  </si>
  <si>
    <t>Chris/Conner</t>
  </si>
  <si>
    <t>10%/5%</t>
  </si>
  <si>
    <t>Based on the results at the end of the fiscal year (for items in system &gt;2wks before end of FY)</t>
  </si>
  <si>
    <r>
      <rPr>
        <b/>
        <sz val="11"/>
        <color theme="1"/>
        <rFont val="Calibri"/>
        <family val="2"/>
        <scheme val="minor"/>
      </rPr>
      <t xml:space="preserve">DIST_DATA_MISMATCH </t>
    </r>
    <r>
      <rPr>
        <sz val="11"/>
        <color theme="1"/>
        <rFont val="Calibri"/>
        <family val="2"/>
        <scheme val="minor"/>
      </rPr>
      <t>- When Distributor Data indicates a distributed item should be on refnum X but is on refnum Y, investigate/resolve.</t>
    </r>
  </si>
  <si>
    <r>
      <rPr>
        <b/>
        <sz val="11"/>
        <color theme="1"/>
        <rFont val="Calibri"/>
        <family val="2"/>
        <scheme val="minor"/>
      </rPr>
      <t>PO spend UOM</t>
    </r>
    <r>
      <rPr>
        <sz val="11"/>
        <color theme="1"/>
        <rFont val="Calibri"/>
        <family val="2"/>
        <scheme val="minor"/>
      </rPr>
      <t xml:space="preserve">
Resolve issues where </t>
    </r>
    <r>
      <rPr>
        <b/>
        <sz val="11"/>
        <color theme="1"/>
        <rFont val="Calibri"/>
        <family val="2"/>
        <scheme val="minor"/>
      </rPr>
      <t>Member Spend data</t>
    </r>
    <r>
      <rPr>
        <sz val="11"/>
        <color theme="1"/>
        <rFont val="Calibri"/>
        <family val="2"/>
        <scheme val="minor"/>
      </rPr>
      <t xml:space="preserve"> indicates a</t>
    </r>
    <r>
      <rPr>
        <b/>
        <sz val="11"/>
        <color theme="1"/>
        <rFont val="Calibri"/>
        <family val="2"/>
        <scheme val="minor"/>
      </rPr>
      <t xml:space="preserve"> missing UOM</t>
    </r>
    <r>
      <rPr>
        <sz val="11"/>
        <color theme="1"/>
        <rFont val="Calibri"/>
        <family val="2"/>
        <scheme val="minor"/>
      </rPr>
      <t xml:space="preserve"> in Fusion</t>
    </r>
  </si>
  <si>
    <t>15%/15%</t>
  </si>
  <si>
    <r>
      <rPr>
        <b/>
        <sz val="11"/>
        <color theme="1"/>
        <rFont val="Calibri"/>
        <family val="2"/>
        <scheme val="minor"/>
      </rPr>
      <t xml:space="preserve">MedSurg Dist. NII </t>
    </r>
    <r>
      <rPr>
        <sz val="11"/>
        <color theme="1"/>
        <rFont val="Calibri"/>
        <family val="2"/>
        <scheme val="minor"/>
      </rPr>
      <t xml:space="preserve">
Aggregate 12 mos spend by Manufacturer for all MedSurg distributors (excluding random trading companies that are not researchable) and proactively add Mfr items.</t>
    </r>
  </si>
  <si>
    <t>previous thresholds were $100K &amp; $200K</t>
  </si>
  <si>
    <t>&gt;=$100K - 14
&gt;=$50K - 69
&gt;=$25K - 87</t>
  </si>
  <si>
    <t>0 &gt; $100K per vendor</t>
  </si>
  <si>
    <t>5 &gt; $25K per vendor</t>
  </si>
  <si>
    <t>&gt;=$100K - 4
&gt;=$50K - 15
&gt;=$25K - 21</t>
  </si>
  <si>
    <t>Restart with lower targeted spend level</t>
  </si>
  <si>
    <t>Conner Malloy</t>
  </si>
  <si>
    <t>CM-10%</t>
  </si>
  <si>
    <r>
      <rPr>
        <b/>
        <sz val="11"/>
        <color theme="1"/>
        <rFont val="Calibri"/>
        <family val="2"/>
        <scheme val="minor"/>
      </rPr>
      <t xml:space="preserve">Records with UOM from PKG String not on M Vend Type
</t>
    </r>
    <r>
      <rPr>
        <sz val="11"/>
        <color theme="1"/>
        <rFont val="Calibri"/>
        <family val="2"/>
        <scheme val="minor"/>
      </rPr>
      <t>Create process for reconciling OEM UOMs/Pkg string information based on records associated with 12mon spend.</t>
    </r>
  </si>
  <si>
    <t>Based on PCR categories loaded by Sourcing before June 14th of the FY27</t>
  </si>
  <si>
    <r>
      <rPr>
        <b/>
        <sz val="11"/>
        <color theme="1"/>
        <rFont val="Calibri"/>
        <family val="2"/>
        <scheme val="minor"/>
      </rPr>
      <t xml:space="preserve">Process PCRs </t>
    </r>
    <r>
      <rPr>
        <sz val="11"/>
        <color theme="1"/>
        <rFont val="Calibri"/>
        <family val="2"/>
        <scheme val="minor"/>
      </rPr>
      <t xml:space="preserve">
Process PCRs and analyze AXIS Project Bases for Fusion data cleanup and standardization.</t>
    </r>
  </si>
  <si>
    <t>GPO, Margin, Advisory, Remitra</t>
  </si>
  <si>
    <t>100% of AXIS Projects</t>
  </si>
  <si>
    <t>9 reviewed of 16 (56.25%)</t>
  </si>
  <si>
    <t>Based on Obsolete dates loaded before June 14th, 2027</t>
  </si>
  <si>
    <r>
      <rPr>
        <b/>
        <sz val="11"/>
        <color theme="1"/>
        <rFont val="Calibri"/>
        <family val="2"/>
        <scheme val="minor"/>
      </rPr>
      <t>Obsolete Dates with Spend</t>
    </r>
    <r>
      <rPr>
        <sz val="11"/>
        <color theme="1"/>
        <rFont val="Calibri"/>
        <family val="2"/>
        <scheme val="minor"/>
      </rPr>
      <t xml:space="preserve">
Review records with obsolete dates that also have &gt;$100K of 12 month spend at the reference number to verify item has been discontinued and it is not sold by another OEM.</t>
    </r>
  </si>
  <si>
    <t>&lt;100</t>
  </si>
  <si>
    <t xml:space="preserve">13 (74%) </t>
  </si>
  <si>
    <r>
      <rPr>
        <b/>
        <sz val="11"/>
        <rFont val="Calibri"/>
        <family val="2"/>
        <scheme val="minor"/>
      </rPr>
      <t>Utilize AI to Improve Data Quality or Operational Efficiencies.</t>
    </r>
    <r>
      <rPr>
        <sz val="11"/>
        <rFont val="Calibri"/>
        <family val="2"/>
        <scheme val="minor"/>
      </rPr>
      <t xml:space="preserve">
Research and collaborate with Internal or External organizations to determine how AI tools may improve data quality or efficiency.  Propose at least 2 concepts and implement one.</t>
    </r>
  </si>
  <si>
    <t>Not yet started - Sheila/Conner description/descriptor cleanse ask/idea from Jim</t>
  </si>
  <si>
    <t>Based on the results at the end of December 2026 (will then change over to maintenance)</t>
  </si>
  <si>
    <r>
      <rPr>
        <b/>
        <sz val="11"/>
        <rFont val="Calibri"/>
        <family val="2"/>
        <scheme val="minor"/>
      </rPr>
      <t xml:space="preserve">BLOCKED PIN ITEMS
</t>
    </r>
    <r>
      <rPr>
        <sz val="11"/>
        <rFont val="Calibri"/>
        <family val="2"/>
        <scheme val="minor"/>
      </rPr>
      <t xml:space="preserve">Resolve items through RNM tools to remove items from the FUSN BlockedPimAdds table.  </t>
    </r>
  </si>
  <si>
    <t>90% by end of Dec</t>
  </si>
  <si>
    <t>100% by end of Dec</t>
  </si>
  <si>
    <t>2,014 (-8.2%)</t>
  </si>
  <si>
    <r>
      <t xml:space="preserve">1) Eliminate REF#s w/spend associated with Terminated &amp; Deleted Entity Codes 
2) Continue to </t>
    </r>
    <r>
      <rPr>
        <b/>
        <sz val="11"/>
        <color theme="1"/>
        <rFont val="Calibri"/>
        <family val="2"/>
        <scheme val="minor"/>
      </rPr>
      <t>reduce UOM Orphan PINs</t>
    </r>
    <r>
      <rPr>
        <sz val="11"/>
        <color theme="1"/>
        <rFont val="Calibri"/>
        <family val="2"/>
        <scheme val="minor"/>
      </rPr>
      <t xml:space="preserve"> - dist. UOM PIN without an associated Mfr UOM PIN
2) Monitor </t>
    </r>
    <r>
      <rPr>
        <b/>
        <sz val="11"/>
        <color theme="1"/>
        <rFont val="Calibri"/>
        <family val="2"/>
        <scheme val="minor"/>
      </rPr>
      <t>Country of Origin</t>
    </r>
    <r>
      <rPr>
        <sz val="11"/>
        <color theme="1"/>
        <rFont val="Calibri"/>
        <family val="2"/>
        <scheme val="minor"/>
      </rPr>
      <t xml:space="preserve"> table for NII opportunities and provide feedback to Sourcing on improvements to loaded data.
4) Reconcile the UOMs between Fusion and PIM so they stay in sync
5) </t>
    </r>
    <r>
      <rPr>
        <b/>
        <u/>
        <sz val="11"/>
        <color theme="1"/>
        <rFont val="Calibri"/>
        <family val="2"/>
        <scheme val="minor"/>
      </rPr>
      <t xml:space="preserve">Pro-actively mine variety of data sources to resolve unmatched spend via NII </t>
    </r>
    <r>
      <rPr>
        <sz val="11"/>
        <color theme="1"/>
        <rFont val="Calibri"/>
        <family val="2"/>
        <scheme val="minor"/>
      </rPr>
      <t xml:space="preserve">unrelated to any Core Goal 
6) Monitor Daily FUSN metric report - resolve any issues that arise
7). </t>
    </r>
    <r>
      <rPr>
        <b/>
        <sz val="11"/>
        <color theme="1"/>
        <rFont val="Calibri"/>
        <family val="2"/>
        <scheme val="minor"/>
      </rPr>
      <t>Behaviors</t>
    </r>
    <r>
      <rPr>
        <sz val="11"/>
        <color theme="1"/>
        <rFont val="Calibri"/>
        <family val="2"/>
        <scheme val="minor"/>
      </rPr>
      <t xml:space="preserve"> - Demonstrates professionalism and individual core competencies
8) Continue to research and build out new and enhance existing queries / UDFs / Big Query tools to assist the entire Business, not necessarily tied to AI.</t>
    </r>
  </si>
  <si>
    <t>CDW/Staples/Grainger - NII mining</t>
  </si>
  <si>
    <t>Keep unmatched spend thresholds &lt;$X</t>
  </si>
  <si>
    <t>Mining Distributor data for potential ref number mergers/add D to vend M or M to D</t>
  </si>
  <si>
    <t>Non-core - maint.</t>
  </si>
  <si>
    <t>Using GUDID data to look for potential PO match NII/UOM adds</t>
  </si>
  <si>
    <t xml:space="preserve">     F/U after Fusion update</t>
  </si>
  <si>
    <t>M-vend types where D-UOM not present</t>
  </si>
  <si>
    <t>PKG string UOM is not a UOM for the item.  (ref number - 10872530)</t>
  </si>
  <si>
    <t>Conner</t>
  </si>
  <si>
    <t>Bring back records with Obsolete dates that have 12mon member spend &gt;$100k to the ref number</t>
  </si>
  <si>
    <t>Need to check current levels</t>
  </si>
  <si>
    <t xml:space="preserve">Ab Initio - Google AI?  </t>
  </si>
  <si>
    <t xml:space="preserve">     Query that sends batches of results to AI for review?  What could be sent?</t>
  </si>
  <si>
    <t>Non-core --&gt; core if discover potential</t>
  </si>
  <si>
    <t xml:space="preserve">     Ab Initio - same product/different ref number but different UNSPSC or CC (CC go to Steve's team)</t>
  </si>
  <si>
    <t>***Can Ab Initio compare the cleansed description with matched PCR description and flag when important differences like size numbers</t>
  </si>
  <si>
    <t>Query to get ref numbers of items that make up top 80% of spend in a CC</t>
  </si>
  <si>
    <t>Debbie</t>
  </si>
  <si>
    <t>Develop process for updating new Pkg Strategy fields - Net Content, etc (FY26 Q4)</t>
  </si>
  <si>
    <t>Janet</t>
  </si>
  <si>
    <t>Share goal with Sheila on 24-description attributes?</t>
  </si>
  <si>
    <t>Cody</t>
  </si>
  <si>
    <t>Non-core continued cross training</t>
  </si>
  <si>
    <t>Sheila</t>
  </si>
  <si>
    <t>Sheila/Debbie</t>
  </si>
  <si>
    <t>Problematic Packaging - description/pkg string QA review and maintenance - number of categories, process improvement/throughtput</t>
  </si>
  <si>
    <t>4-level</t>
  </si>
  <si>
    <t>3-month goal</t>
  </si>
  <si>
    <t>brand name</t>
  </si>
  <si>
    <t>List from Sourcing/Bava</t>
  </si>
  <si>
    <t xml:space="preserve">Brand name project - is dependent upon Sourcing process/categories - Proactive?  </t>
  </si>
  <si>
    <t>24-attributes</t>
  </si>
  <si>
    <t>Get count of crossable categories (timeframe?) - items with spend/95% of spend</t>
  </si>
  <si>
    <t xml:space="preserve">     Develop repeatable process/documentation, improve throughput, train MSI/other resource - Pilot + 2 projects  - feedback to Sourcing if PCR's don't have brand name filled in, </t>
  </si>
  <si>
    <t>description/pkg</t>
  </si>
  <si>
    <t>Update 24 description attributes</t>
  </si>
  <si>
    <t xml:space="preserve">     Develop repeatable process, improve throughput, train MSI/other resource?</t>
  </si>
  <si>
    <t>Kathy</t>
  </si>
  <si>
    <t>Phase II of UNSPSC v26 project</t>
  </si>
  <si>
    <t xml:space="preserve">     UNSPSC ADD codes to review - CC vs current UNSPSC vs query</t>
  </si>
  <si>
    <t xml:space="preserve">          # of UNSPSC ADD codes vs # of records reviewed vs # updated</t>
  </si>
  <si>
    <t>Tyler</t>
  </si>
  <si>
    <t>Ab Initio project</t>
  </si>
  <si>
    <t>Tyler/John</t>
  </si>
  <si>
    <t>ENRI records not matching to ref numbers</t>
  </si>
  <si>
    <t xml:space="preserve">     number or percent related to member files?</t>
  </si>
  <si>
    <t>Bendeara</t>
  </si>
  <si>
    <t>UTV - measurable metric?  Come in ad hoc, supplier may repeat over time</t>
  </si>
  <si>
    <t>Latex-Free/Safety flag - % of 'U' associated with products</t>
  </si>
  <si>
    <t>Me</t>
  </si>
  <si>
    <t>GDSN - increase # of suppliers connected/submitting?  Finite pool, many unresponsive/not using</t>
  </si>
  <si>
    <t>Develop process for managing Contry of Origin data/QA review/troubleshoot - (FY26Q2)</t>
  </si>
  <si>
    <t>Develop process for managing product images phase 2 - (FY26Q3)</t>
  </si>
  <si>
    <t>146 of 146 (100%) (Anticipate ~ 125 categories for FY26)</t>
  </si>
  <si>
    <t>10 (80%)</t>
  </si>
  <si>
    <t>Initial Copilot Studio Agent Developed and in Experimentation. Provided Shelia with Link, System Instructions/Prompt.</t>
  </si>
  <si>
    <t>13 reviewed of 22 (59.09%)</t>
  </si>
  <si>
    <t>&gt;=$100K - 4
&gt;=$50K - 10
&gt;=$25K - 18</t>
  </si>
  <si>
    <t>2,094 (-11.7%)</t>
  </si>
  <si>
    <t>&gt;$500K = 23
&gt;$250K = 70</t>
  </si>
  <si>
    <t>&gt;$1M = 107
&gt;$500K = 58</t>
  </si>
  <si>
    <t xml:space="preserve"> </t>
  </si>
  <si>
    <t>28 reviewed of 32 (87.50%)</t>
  </si>
  <si>
    <t>1,868(-1.0%)</t>
  </si>
  <si>
    <t>&gt;=$100K - 1
&gt;=$50K - 7
&gt;=$25K - 13</t>
  </si>
  <si>
    <t>9 (80%)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</si>
</sst>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3" formatCode="_(* #,##0.00_);_(* \(#,##0.00\);_(* &quot;-&quot;??_);_(@_)"/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2" borderId="1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3" borderId="2" xfId="0" applyFill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164" fontId="0" fillId="0" borderId="2" xfId="1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left" wrapText="1"/>
    </xf>
    <xf numFmtId="3" fontId="0" fillId="0" borderId="2" xfId="0" applyNumberFormat="1" applyBorder="1" applyAlignment="1">
      <alignment horizontal="center" wrapText="1"/>
    </xf>
    <xf numFmtId="164" fontId="4" fillId="0" borderId="2" xfId="1" applyNumberFormat="1" applyFont="1" applyFill="1" applyBorder="1" applyAlignment="1">
      <alignment horizontal="center" wrapText="1"/>
    </xf>
    <xf numFmtId="164" fontId="4" fillId="0" borderId="2" xfId="1" applyNumberFormat="1" applyFont="1" applyBorder="1" applyAlignment="1">
      <alignment horizontal="center"/>
    </xf>
    <xf numFmtId="164" fontId="4" fillId="0" borderId="2" xfId="1" applyNumberFormat="1" applyFont="1" applyFill="1" applyBorder="1" applyAlignment="1">
      <alignment horizontal="center"/>
    </xf>
    <xf numFmtId="164" fontId="0" fillId="0" borderId="2" xfId="1" applyNumberFormat="1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top" wrapText="1"/>
    </xf>
    <xf numFmtId="164" fontId="5" fillId="0" borderId="2" xfId="1" applyNumberFormat="1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2" fillId="3" borderId="2" xfId="0" applyFont="1" applyFill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9" fontId="0" fillId="0" borderId="2" xfId="0" applyNumberFormat="1" applyBorder="1" applyAlignment="1">
      <alignment horizontal="left" wrapText="1"/>
    </xf>
    <xf numFmtId="0" fontId="5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7" borderId="2" xfId="0" applyFont="1" applyFill="1" applyBorder="1" applyAlignment="1">
      <alignment horizontal="center" vertical="top"/>
    </xf>
    <xf numFmtId="164" fontId="0" fillId="8" borderId="0" xfId="1" applyNumberFormat="1" applyFont="1" applyFill="1"/>
    <xf numFmtId="0" fontId="4" fillId="0" borderId="1" xfId="0" applyFont="1" applyBorder="1" applyAlignment="1">
      <alignment horizontal="center" wrapText="1"/>
    </xf>
    <xf numFmtId="164" fontId="4" fillId="0" borderId="3" xfId="1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vertical="top" wrapText="1"/>
    </xf>
    <xf numFmtId="164" fontId="5" fillId="3" borderId="3" xfId="1" applyNumberFormat="1" applyFont="1" applyFill="1" applyBorder="1" applyAlignment="1">
      <alignment horizontal="center" vertical="top" wrapText="1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6" fontId="4" fillId="0" borderId="2" xfId="0" applyNumberFormat="1" applyFont="1" applyBorder="1" applyAlignment="1">
      <alignment wrapText="1"/>
    </xf>
    <xf numFmtId="164" fontId="5" fillId="6" borderId="3" xfId="1" applyNumberFormat="1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10" borderId="0" xfId="0" applyFill="1"/>
    <xf numFmtId="0" fontId="0" fillId="10" borderId="0" xfId="0" applyFill="1" applyAlignment="1">
      <alignment wrapText="1"/>
    </xf>
    <xf numFmtId="0" fontId="0" fillId="3" borderId="0" xfId="0" applyFill="1"/>
    <xf numFmtId="0" fontId="0" fillId="9" borderId="0" xfId="0" applyFill="1"/>
    <xf numFmtId="164" fontId="4" fillId="9" borderId="2" xfId="1" applyNumberFormat="1" applyFont="1" applyFill="1" applyBorder="1" applyAlignment="1">
      <alignment horizontal="center"/>
    </xf>
    <xf numFmtId="164" fontId="4" fillId="9" borderId="2" xfId="1" applyNumberFormat="1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left" wrapText="1"/>
    </xf>
    <xf numFmtId="9" fontId="0" fillId="2" borderId="2" xfId="0" applyNumberFormat="1" applyFill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4" fillId="11" borderId="2" xfId="0" applyFont="1" applyFill="1" applyBorder="1"/>
    <xf numFmtId="9" fontId="4" fillId="2" borderId="2" xfId="0" applyNumberFormat="1" applyFont="1" applyFill="1" applyBorder="1" applyAlignment="1">
      <alignment horizontal="center" wrapText="1"/>
    </xf>
    <xf numFmtId="6" fontId="4" fillId="11" borderId="2" xfId="0" applyNumberFormat="1" applyFont="1" applyFill="1" applyBorder="1" applyAlignment="1">
      <alignment wrapText="1"/>
    </xf>
    <xf numFmtId="1" fontId="4" fillId="2" borderId="2" xfId="0" applyNumberFormat="1" applyFont="1" applyFill="1" applyBorder="1" applyAlignment="1">
      <alignment horizontal="center" wrapText="1"/>
    </xf>
    <xf numFmtId="1" fontId="0" fillId="2" borderId="2" xfId="0" applyNumberFormat="1" applyFill="1" applyBorder="1" applyAlignment="1">
      <alignment horizontal="center" wrapText="1"/>
    </xf>
    <xf numFmtId="0" fontId="3" fillId="4" borderId="2" xfId="0" applyFont="1" applyFill="1" applyBorder="1" applyAlignment="1">
      <alignment horizontal="left" wrapText="1"/>
    </xf>
    <xf numFmtId="37" fontId="4" fillId="0" borderId="2" xfId="2" applyNumberFormat="1" applyFont="1" applyBorder="1" applyAlignment="1">
      <alignment horizontal="center" wrapText="1"/>
    </xf>
    <xf numFmtId="3" fontId="4" fillId="0" borderId="2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0" fillId="10" borderId="0" xfId="0" applyFill="1" applyAlignment="1">
      <alignment horizontal="center" vertic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octor, Melanie" id="{D7B17828-129D-42A7-8438-453AC7DF2756}" userId="S::Melanie_Proctor@PremierInc.com::308d181d-9b1d-4e27-8d15-59e0712ac053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2-01-10T21:25:06.05" personId="{D7B17828-129D-42A7-8438-453AC7DF2756}" id="{E6793FC3-CEA9-47E8-9538-31A063596C76}">
    <text>Marcia's team is at 20% for Core (based on what I asked her to do in Jan22)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F07B2-2EED-4903-A717-6CF6018A2206}">
  <dimension ref="A1:AA32"/>
  <sheetViews>
    <sheetView tabSelected="1" zoomScale="80" zoomScaleNormal="80" workbookViewId="0">
      <pane ySplit="3" topLeftCell="A4" activePane="bottomLeft" state="frozen"/>
      <selection pane="bottomLeft" activeCell="N12" sqref="N12"/>
    </sheetView>
  </sheetViews>
  <sheetFormatPr defaultRowHeight="15" x14ac:dyDescent="0.25"/>
  <cols>
    <col min="1" max="1" width="8.28515625" style="2" customWidth="1"/>
    <col min="2" max="2" width="11" style="2" customWidth="1"/>
    <col min="3" max="3" width="9.85546875" style="2" customWidth="1"/>
    <col min="4" max="4" width="8.85546875" style="7" customWidth="1"/>
    <col min="5" max="5" width="21" style="6" customWidth="1"/>
    <col min="6" max="6" width="63.42578125" style="5" customWidth="1"/>
    <col min="7" max="7" width="11.5703125" style="4" customWidth="1"/>
    <col min="8" max="8" width="15.28515625" style="3" customWidth="1"/>
    <col min="9" max="9" width="17.5703125" style="3" customWidth="1"/>
    <col min="10" max="10" width="29.28515625" style="2" customWidth="1"/>
    <col min="11" max="11" width="36.42578125" style="1" customWidth="1"/>
    <col min="12" max="12" width="27.140625" customWidth="1"/>
    <col min="13" max="13" width="29.28515625" customWidth="1"/>
    <col min="14" max="14" width="30.7109375" customWidth="1"/>
    <col min="15" max="23" width="2.5703125" customWidth="1"/>
    <col min="26" max="26" width="30" customWidth="1"/>
    <col min="27" max="27" width="27.85546875" customWidth="1"/>
  </cols>
  <sheetData>
    <row r="1" spans="1:27" x14ac:dyDescent="0.25">
      <c r="C1" s="2">
        <f>SUBTOTAL(3,C4:C31)</f>
        <v>13</v>
      </c>
      <c r="F1" s="28"/>
      <c r="G1" s="27"/>
      <c r="K1" s="26"/>
      <c r="X1" s="33"/>
      <c r="Y1" s="33">
        <v>1</v>
      </c>
      <c r="Z1" s="33"/>
    </row>
    <row r="2" spans="1:27" x14ac:dyDescent="0.25">
      <c r="A2" s="25" t="s">
        <v>0</v>
      </c>
      <c r="B2" s="24"/>
      <c r="D2" s="7">
        <f>SUBTOTAL(9,D4:D31)</f>
        <v>1.3</v>
      </c>
      <c r="F2" s="23">
        <f>SUBTOTAL(3,F4:F31)</f>
        <v>13</v>
      </c>
      <c r="G2" s="22"/>
      <c r="H2" s="21"/>
      <c r="I2" s="21"/>
      <c r="J2" s="63" t="s">
        <v>1</v>
      </c>
      <c r="K2" s="64"/>
      <c r="X2" s="34"/>
      <c r="Y2" s="35"/>
      <c r="Z2" s="35"/>
    </row>
    <row r="3" spans="1:27" ht="60" x14ac:dyDescent="0.25">
      <c r="A3" s="15" t="s">
        <v>2</v>
      </c>
      <c r="B3" s="15" t="s">
        <v>3</v>
      </c>
      <c r="C3" s="15" t="s">
        <v>4</v>
      </c>
      <c r="D3" s="20" t="s">
        <v>5</v>
      </c>
      <c r="E3" s="15" t="s">
        <v>6</v>
      </c>
      <c r="F3" s="19" t="s">
        <v>7</v>
      </c>
      <c r="G3" s="14" t="s">
        <v>8</v>
      </c>
      <c r="H3" s="18" t="s">
        <v>9</v>
      </c>
      <c r="I3" s="18" t="s">
        <v>10</v>
      </c>
      <c r="J3" s="17" t="s">
        <v>11</v>
      </c>
      <c r="K3" s="16" t="s">
        <v>12</v>
      </c>
      <c r="L3" s="30" t="s">
        <v>13</v>
      </c>
      <c r="M3" s="30" t="s">
        <v>14</v>
      </c>
      <c r="N3" s="30" t="s">
        <v>15</v>
      </c>
      <c r="O3" s="32" t="s">
        <v>16</v>
      </c>
      <c r="P3" s="32" t="s">
        <v>17</v>
      </c>
      <c r="Q3" s="32" t="s">
        <v>18</v>
      </c>
      <c r="R3" s="31" t="s">
        <v>19</v>
      </c>
      <c r="S3" s="31" t="s">
        <v>20</v>
      </c>
      <c r="T3" s="31" t="s">
        <v>21</v>
      </c>
      <c r="U3" s="32" t="s">
        <v>22</v>
      </c>
      <c r="V3" s="32" t="s">
        <v>23</v>
      </c>
      <c r="W3" s="32" t="s">
        <v>24</v>
      </c>
      <c r="X3" s="37" t="s">
        <v>25</v>
      </c>
      <c r="Y3" s="38" t="s">
        <v>26</v>
      </c>
      <c r="Z3" s="43" t="s">
        <v>27</v>
      </c>
    </row>
    <row r="4" spans="1:27" ht="60" x14ac:dyDescent="0.25">
      <c r="A4" s="2" t="s">
        <v>28</v>
      </c>
      <c r="B4" s="2" t="s">
        <v>29</v>
      </c>
      <c r="C4" s="2" t="s">
        <v>30</v>
      </c>
      <c r="D4" s="12">
        <v>0.15</v>
      </c>
      <c r="E4" s="6" t="s">
        <v>31</v>
      </c>
      <c r="F4" s="8" t="s">
        <v>32</v>
      </c>
      <c r="H4" s="9"/>
      <c r="I4" s="9"/>
      <c r="J4" s="52" t="s">
        <v>33</v>
      </c>
      <c r="K4" s="56" t="s">
        <v>34</v>
      </c>
      <c r="L4" s="36" t="s">
        <v>35</v>
      </c>
      <c r="M4" s="41"/>
      <c r="N4" s="41"/>
      <c r="O4" s="42"/>
      <c r="P4" s="42"/>
      <c r="Q4" s="42"/>
      <c r="R4" s="42"/>
      <c r="S4" s="42"/>
      <c r="T4" s="42"/>
      <c r="U4" s="42"/>
      <c r="V4" s="39"/>
      <c r="W4" s="39"/>
      <c r="X4" s="36"/>
      <c r="Y4" s="11"/>
      <c r="Z4" s="11" t="s">
        <v>36</v>
      </c>
    </row>
    <row r="5" spans="1:27" ht="210" x14ac:dyDescent="0.25">
      <c r="A5" s="2" t="s">
        <v>37</v>
      </c>
      <c r="B5" s="2" t="s">
        <v>38</v>
      </c>
      <c r="C5" s="2" t="s">
        <v>30</v>
      </c>
      <c r="D5" s="7">
        <v>0.25</v>
      </c>
      <c r="E5" s="6" t="s">
        <v>39</v>
      </c>
      <c r="F5" s="8" t="s">
        <v>40</v>
      </c>
      <c r="H5" s="2"/>
      <c r="I5" s="2"/>
      <c r="J5" s="52"/>
      <c r="K5" s="52"/>
      <c r="L5" s="54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7" ht="75" x14ac:dyDescent="0.25">
      <c r="A6" s="2" t="s">
        <v>28</v>
      </c>
      <c r="B6" s="2" t="s">
        <v>29</v>
      </c>
      <c r="C6" s="2" t="s">
        <v>30</v>
      </c>
      <c r="D6" s="13">
        <v>0.15</v>
      </c>
      <c r="E6" s="6" t="s">
        <v>41</v>
      </c>
      <c r="F6" s="8" t="s">
        <v>42</v>
      </c>
      <c r="H6" s="9" t="s">
        <v>43</v>
      </c>
      <c r="I6" s="2" t="s">
        <v>44</v>
      </c>
      <c r="J6" s="58" t="s">
        <v>45</v>
      </c>
      <c r="K6" s="58" t="s">
        <v>46</v>
      </c>
      <c r="L6" s="36" t="s">
        <v>47</v>
      </c>
      <c r="M6" s="36" t="s">
        <v>146</v>
      </c>
      <c r="N6" s="41"/>
      <c r="O6" s="42"/>
      <c r="P6" s="42"/>
      <c r="Q6" s="42"/>
      <c r="R6" s="42"/>
      <c r="S6" s="42"/>
      <c r="T6" s="42"/>
      <c r="U6" s="42"/>
      <c r="V6" s="39"/>
      <c r="W6" s="39"/>
      <c r="X6" s="36"/>
      <c r="Y6" s="11"/>
      <c r="Z6" s="49" t="s">
        <v>43</v>
      </c>
    </row>
    <row r="7" spans="1:27" ht="75" x14ac:dyDescent="0.25">
      <c r="A7" s="2" t="s">
        <v>28</v>
      </c>
      <c r="B7" s="2" t="s">
        <v>29</v>
      </c>
      <c r="C7" s="2" t="s">
        <v>48</v>
      </c>
      <c r="D7" s="13">
        <v>0.1</v>
      </c>
      <c r="E7" s="6" t="s">
        <v>41</v>
      </c>
      <c r="F7" s="60" t="s">
        <v>49</v>
      </c>
      <c r="H7" s="9" t="s">
        <v>43</v>
      </c>
      <c r="I7" s="2" t="s">
        <v>50</v>
      </c>
      <c r="J7" s="58" t="s">
        <v>51</v>
      </c>
      <c r="K7" s="58" t="s">
        <v>52</v>
      </c>
      <c r="L7" s="36" t="s">
        <v>53</v>
      </c>
      <c r="M7" s="36" t="s">
        <v>147</v>
      </c>
      <c r="N7" s="41"/>
      <c r="O7" s="42"/>
      <c r="P7" s="42"/>
      <c r="Q7" s="42"/>
      <c r="R7" s="42"/>
      <c r="S7" s="42"/>
      <c r="T7" s="42"/>
      <c r="U7" s="42"/>
      <c r="V7" s="39"/>
      <c r="W7" s="39"/>
      <c r="X7" s="36"/>
      <c r="Y7" s="11"/>
      <c r="Z7" s="49" t="s">
        <v>43</v>
      </c>
    </row>
    <row r="8" spans="1:27" ht="75" x14ac:dyDescent="0.25">
      <c r="A8" s="2" t="s">
        <v>28</v>
      </c>
      <c r="B8" s="2" t="s">
        <v>29</v>
      </c>
      <c r="C8" s="2" t="s">
        <v>54</v>
      </c>
      <c r="D8" s="13" t="s">
        <v>55</v>
      </c>
      <c r="E8" s="6" t="s">
        <v>56</v>
      </c>
      <c r="F8" s="8" t="s">
        <v>57</v>
      </c>
      <c r="H8" s="9"/>
      <c r="I8" s="9">
        <v>1200</v>
      </c>
      <c r="J8" s="58">
        <v>120</v>
      </c>
      <c r="K8" s="58">
        <v>0</v>
      </c>
      <c r="L8" s="61">
        <v>1319</v>
      </c>
      <c r="M8" s="36">
        <v>843</v>
      </c>
      <c r="N8" s="36">
        <v>559</v>
      </c>
      <c r="O8" s="42"/>
      <c r="P8" s="42"/>
      <c r="Q8" s="42"/>
      <c r="R8" s="42"/>
      <c r="S8" s="42"/>
      <c r="T8" s="42"/>
      <c r="U8" s="42"/>
      <c r="V8" s="39"/>
      <c r="W8" s="39"/>
      <c r="X8" s="36"/>
      <c r="Y8" s="11"/>
      <c r="Z8" s="49" t="s">
        <v>43</v>
      </c>
    </row>
    <row r="9" spans="1:27" ht="75" x14ac:dyDescent="0.25">
      <c r="A9" s="2" t="s">
        <v>28</v>
      </c>
      <c r="B9" s="2" t="s">
        <v>29</v>
      </c>
      <c r="C9" s="2" t="s">
        <v>54</v>
      </c>
      <c r="D9" s="13" t="s">
        <v>55</v>
      </c>
      <c r="E9" s="6" t="s">
        <v>56</v>
      </c>
      <c r="F9" s="8" t="s">
        <v>58</v>
      </c>
      <c r="H9" s="9"/>
      <c r="I9" s="9">
        <v>780</v>
      </c>
      <c r="J9" s="58">
        <v>78</v>
      </c>
      <c r="K9" s="58">
        <v>0</v>
      </c>
      <c r="L9" s="36">
        <v>711</v>
      </c>
      <c r="M9" s="36">
        <v>247</v>
      </c>
      <c r="N9" s="36">
        <v>97</v>
      </c>
      <c r="O9" s="42"/>
      <c r="P9" s="42"/>
      <c r="Q9" s="42"/>
      <c r="R9" s="42"/>
      <c r="S9" s="42"/>
      <c r="T9" s="42"/>
      <c r="U9" s="42"/>
      <c r="V9" s="39"/>
      <c r="W9" s="39"/>
      <c r="X9" s="36"/>
      <c r="Y9" s="11"/>
      <c r="Z9" s="49" t="s">
        <v>43</v>
      </c>
    </row>
    <row r="10" spans="1:27" ht="75" x14ac:dyDescent="0.25">
      <c r="A10" s="2" t="s">
        <v>28</v>
      </c>
      <c r="B10" s="2" t="s">
        <v>29</v>
      </c>
      <c r="C10" s="2" t="s">
        <v>54</v>
      </c>
      <c r="D10" s="13" t="s">
        <v>59</v>
      </c>
      <c r="E10" s="6" t="s">
        <v>41</v>
      </c>
      <c r="F10" s="8" t="s">
        <v>60</v>
      </c>
      <c r="H10" s="9" t="s">
        <v>61</v>
      </c>
      <c r="I10" s="2" t="s">
        <v>62</v>
      </c>
      <c r="J10" s="52" t="s">
        <v>63</v>
      </c>
      <c r="K10" s="52" t="s">
        <v>64</v>
      </c>
      <c r="L10" s="2" t="s">
        <v>65</v>
      </c>
      <c r="M10" s="36" t="s">
        <v>144</v>
      </c>
      <c r="N10" s="36" t="s">
        <v>151</v>
      </c>
      <c r="O10" s="42"/>
      <c r="P10" s="42"/>
      <c r="Q10" s="42"/>
      <c r="R10" s="42"/>
      <c r="S10" s="42"/>
      <c r="T10" s="42"/>
      <c r="U10" s="42"/>
      <c r="V10" s="39"/>
      <c r="W10" s="39"/>
      <c r="X10" s="36"/>
      <c r="Y10" s="11"/>
      <c r="Z10" s="50" t="s">
        <v>66</v>
      </c>
    </row>
    <row r="11" spans="1:27" ht="80.45" customHeight="1" x14ac:dyDescent="0.25">
      <c r="A11" s="2" t="s">
        <v>28</v>
      </c>
      <c r="B11" s="2" t="s">
        <v>29</v>
      </c>
      <c r="C11" s="2" t="s">
        <v>67</v>
      </c>
      <c r="D11" s="10" t="s">
        <v>68</v>
      </c>
      <c r="E11" s="6" t="s">
        <v>56</v>
      </c>
      <c r="F11" s="8" t="s">
        <v>69</v>
      </c>
      <c r="H11" s="9"/>
      <c r="I11" s="9">
        <v>0</v>
      </c>
      <c r="J11" s="58">
        <v>20</v>
      </c>
      <c r="K11" s="58">
        <v>0</v>
      </c>
      <c r="L11" s="40">
        <v>98</v>
      </c>
      <c r="M11" s="36">
        <v>361</v>
      </c>
      <c r="N11" s="36">
        <v>39</v>
      </c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11"/>
      <c r="Z11" s="11" t="s">
        <v>36</v>
      </c>
      <c r="AA11" s="44"/>
    </row>
    <row r="12" spans="1:27" ht="60" x14ac:dyDescent="0.25">
      <c r="A12" s="2" t="s">
        <v>28</v>
      </c>
      <c r="B12" s="2" t="s">
        <v>29</v>
      </c>
      <c r="C12" s="2" t="s">
        <v>67</v>
      </c>
      <c r="D12" s="12">
        <v>0.1</v>
      </c>
      <c r="E12" s="6" t="s">
        <v>70</v>
      </c>
      <c r="F12" s="8" t="s">
        <v>71</v>
      </c>
      <c r="G12" s="4" t="s">
        <v>72</v>
      </c>
      <c r="H12" s="9" t="s">
        <v>73</v>
      </c>
      <c r="I12" s="9" t="s">
        <v>140</v>
      </c>
      <c r="J12" s="52">
        <v>0.9</v>
      </c>
      <c r="K12" s="52">
        <v>1</v>
      </c>
      <c r="L12" s="40" t="s">
        <v>74</v>
      </c>
      <c r="M12" s="40" t="s">
        <v>143</v>
      </c>
      <c r="N12" s="40" t="s">
        <v>149</v>
      </c>
      <c r="O12" s="42"/>
      <c r="P12" s="42"/>
      <c r="Q12" s="42"/>
      <c r="R12" s="42"/>
      <c r="S12" s="42"/>
      <c r="T12" s="42"/>
      <c r="U12" s="42"/>
      <c r="V12" s="39"/>
      <c r="W12" s="39"/>
      <c r="X12" s="36"/>
      <c r="Y12" s="11"/>
      <c r="Z12" s="11" t="s">
        <v>36</v>
      </c>
    </row>
    <row r="13" spans="1:27" ht="60" x14ac:dyDescent="0.25">
      <c r="A13" s="2" t="s">
        <v>28</v>
      </c>
      <c r="B13" s="2" t="s">
        <v>29</v>
      </c>
      <c r="C13" s="2" t="s">
        <v>67</v>
      </c>
      <c r="D13" s="12">
        <v>0.1</v>
      </c>
      <c r="E13" s="6" t="s">
        <v>75</v>
      </c>
      <c r="F13" s="8" t="s">
        <v>76</v>
      </c>
      <c r="H13" s="9"/>
      <c r="I13" s="9">
        <v>50</v>
      </c>
      <c r="J13" s="52" t="s">
        <v>77</v>
      </c>
      <c r="K13" s="59">
        <v>0</v>
      </c>
      <c r="L13" s="40" t="s">
        <v>78</v>
      </c>
      <c r="M13" s="36" t="s">
        <v>141</v>
      </c>
      <c r="N13" s="36" t="s">
        <v>152</v>
      </c>
      <c r="O13" s="42"/>
      <c r="P13" s="42"/>
      <c r="Q13" s="42"/>
      <c r="R13" s="42"/>
      <c r="S13" s="42"/>
      <c r="T13" s="42"/>
      <c r="U13" s="42"/>
      <c r="V13" s="39"/>
      <c r="W13" s="39"/>
      <c r="X13" s="36"/>
      <c r="Y13" s="11"/>
      <c r="Z13" s="11" t="s">
        <v>36</v>
      </c>
    </row>
    <row r="14" spans="1:27" ht="75" x14ac:dyDescent="0.25">
      <c r="A14" s="2" t="s">
        <v>28</v>
      </c>
      <c r="B14" s="2" t="s">
        <v>29</v>
      </c>
      <c r="C14" s="2" t="s">
        <v>67</v>
      </c>
      <c r="D14" s="12">
        <v>0.15</v>
      </c>
      <c r="E14" s="6" t="s">
        <v>31</v>
      </c>
      <c r="F14" s="51" t="s">
        <v>79</v>
      </c>
      <c r="H14" s="9"/>
      <c r="I14" s="9"/>
      <c r="J14" s="52" t="s">
        <v>33</v>
      </c>
      <c r="K14" s="56" t="s">
        <v>34</v>
      </c>
      <c r="L14" s="41" t="s">
        <v>80</v>
      </c>
      <c r="M14" s="41" t="s">
        <v>142</v>
      </c>
      <c r="N14" s="41" t="s">
        <v>142</v>
      </c>
      <c r="O14" s="42"/>
      <c r="P14" s="42"/>
      <c r="Q14" s="42"/>
      <c r="R14" s="42"/>
      <c r="S14" s="42"/>
      <c r="T14" s="42"/>
      <c r="U14" s="42"/>
      <c r="V14" s="39"/>
      <c r="W14" s="39"/>
      <c r="X14" s="36"/>
      <c r="Y14" s="11"/>
      <c r="Z14" s="11" t="s">
        <v>36</v>
      </c>
    </row>
    <row r="15" spans="1:27" ht="77.45" customHeight="1" x14ac:dyDescent="0.25">
      <c r="A15" s="2" t="s">
        <v>28</v>
      </c>
      <c r="B15" s="2" t="s">
        <v>29</v>
      </c>
      <c r="C15" s="2" t="s">
        <v>67</v>
      </c>
      <c r="D15" s="12">
        <v>0.05</v>
      </c>
      <c r="E15" s="6" t="s">
        <v>81</v>
      </c>
      <c r="F15" s="51" t="s">
        <v>82</v>
      </c>
      <c r="H15" s="9"/>
      <c r="I15" s="9">
        <v>1849</v>
      </c>
      <c r="J15" s="52" t="s">
        <v>83</v>
      </c>
      <c r="K15" s="56" t="s">
        <v>84</v>
      </c>
      <c r="L15" s="40" t="s">
        <v>85</v>
      </c>
      <c r="M15" s="62" t="s">
        <v>145</v>
      </c>
      <c r="N15" s="40" t="s">
        <v>150</v>
      </c>
      <c r="O15" s="42"/>
      <c r="P15" s="42"/>
      <c r="Q15" s="42"/>
      <c r="R15" s="57"/>
      <c r="S15" s="57"/>
      <c r="T15" s="57"/>
      <c r="U15" s="57"/>
      <c r="V15" s="55"/>
      <c r="W15" s="55"/>
      <c r="X15" s="36"/>
      <c r="Y15" s="11"/>
      <c r="Z15" s="49" t="s">
        <v>43</v>
      </c>
    </row>
    <row r="16" spans="1:27" ht="225" x14ac:dyDescent="0.25">
      <c r="A16" s="2" t="s">
        <v>37</v>
      </c>
      <c r="B16" s="2" t="s">
        <v>29</v>
      </c>
      <c r="C16" s="2" t="s">
        <v>67</v>
      </c>
      <c r="D16" s="7">
        <v>0.25</v>
      </c>
      <c r="E16" s="6" t="s">
        <v>39</v>
      </c>
      <c r="F16" s="8" t="s">
        <v>86</v>
      </c>
      <c r="H16" s="2"/>
      <c r="I16" s="2"/>
      <c r="J16" s="52"/>
      <c r="K16" s="52"/>
      <c r="L16" s="53"/>
      <c r="M16" s="53" t="s">
        <v>148</v>
      </c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36"/>
      <c r="Y16" s="53"/>
      <c r="Z16" s="53"/>
    </row>
    <row r="17" spans="5:26" x14ac:dyDescent="0.25">
      <c r="F17" s="6"/>
      <c r="H17" s="2"/>
      <c r="I17" s="2"/>
      <c r="X17" s="34"/>
      <c r="Y17" s="35"/>
      <c r="Z17" s="35"/>
    </row>
    <row r="18" spans="5:26" x14ac:dyDescent="0.25">
      <c r="F18" s="6"/>
      <c r="H18" s="2"/>
      <c r="I18" s="2"/>
      <c r="X18" s="34"/>
      <c r="Y18" s="35"/>
      <c r="Z18" s="35"/>
    </row>
    <row r="19" spans="5:26" x14ac:dyDescent="0.25">
      <c r="E19" s="29"/>
      <c r="F19" s="6"/>
      <c r="H19" s="2"/>
      <c r="I19" s="2"/>
      <c r="X19" s="34"/>
      <c r="Y19" s="35"/>
      <c r="Z19" s="35"/>
    </row>
    <row r="20" spans="5:26" x14ac:dyDescent="0.25">
      <c r="F20" s="6"/>
      <c r="H20" s="2"/>
      <c r="I20" s="2"/>
      <c r="X20" s="34"/>
      <c r="Y20" s="35"/>
      <c r="Z20" s="35"/>
    </row>
    <row r="21" spans="5:26" x14ac:dyDescent="0.25">
      <c r="F21" s="6"/>
      <c r="H21" s="2"/>
      <c r="I21" s="2"/>
      <c r="X21" s="34"/>
      <c r="Y21" s="35"/>
      <c r="Z21" s="35"/>
    </row>
    <row r="22" spans="5:26" x14ac:dyDescent="0.25">
      <c r="F22" s="6"/>
      <c r="H22" s="2"/>
      <c r="I22" s="2"/>
      <c r="X22" s="34"/>
      <c r="Y22" s="35"/>
      <c r="Z22" s="35"/>
    </row>
    <row r="23" spans="5:26" x14ac:dyDescent="0.25">
      <c r="F23" s="6"/>
      <c r="H23" s="2"/>
      <c r="I23" s="2"/>
      <c r="X23" s="34"/>
      <c r="Y23" s="35"/>
      <c r="Z23" s="35"/>
    </row>
    <row r="24" spans="5:26" x14ac:dyDescent="0.25">
      <c r="F24" s="6"/>
      <c r="H24" s="2"/>
      <c r="I24" s="2"/>
      <c r="X24" s="34"/>
      <c r="Y24" s="35"/>
      <c r="Z24" s="35"/>
    </row>
    <row r="25" spans="5:26" x14ac:dyDescent="0.25">
      <c r="F25" s="6"/>
      <c r="H25" s="2"/>
      <c r="I25" s="2"/>
      <c r="X25" s="34"/>
      <c r="Y25" s="35"/>
      <c r="Z25" s="35"/>
    </row>
    <row r="26" spans="5:26" x14ac:dyDescent="0.25">
      <c r="F26" s="6"/>
      <c r="H26" s="2"/>
      <c r="I26" s="2"/>
      <c r="X26" s="34"/>
      <c r="Y26" s="35"/>
      <c r="Z26" s="35"/>
    </row>
    <row r="27" spans="5:26" x14ac:dyDescent="0.25">
      <c r="F27" s="6"/>
      <c r="H27" s="2"/>
      <c r="I27" s="2"/>
      <c r="X27" s="34"/>
      <c r="Y27" s="35"/>
      <c r="Z27" s="35"/>
    </row>
    <row r="28" spans="5:26" x14ac:dyDescent="0.25">
      <c r="F28" s="6"/>
      <c r="H28" s="2"/>
      <c r="I28" s="2"/>
      <c r="X28" s="34"/>
      <c r="Y28" s="35"/>
      <c r="Z28" s="35"/>
    </row>
    <row r="29" spans="5:26" x14ac:dyDescent="0.25">
      <c r="F29" s="6"/>
      <c r="H29" s="2"/>
      <c r="I29" s="2"/>
      <c r="X29" s="34"/>
      <c r="Y29" s="35"/>
      <c r="Z29" s="35"/>
    </row>
    <row r="30" spans="5:26" x14ac:dyDescent="0.25">
      <c r="F30" s="6"/>
      <c r="H30" s="2"/>
      <c r="I30" s="2"/>
      <c r="X30" s="34"/>
      <c r="Y30" s="35"/>
      <c r="Z30" s="35"/>
    </row>
    <row r="31" spans="5:26" x14ac:dyDescent="0.25">
      <c r="F31" s="6"/>
      <c r="H31" s="2"/>
      <c r="I31" s="2"/>
      <c r="X31" s="34"/>
      <c r="Y31" s="35"/>
      <c r="Z31" s="35"/>
    </row>
    <row r="32" spans="5:26" x14ac:dyDescent="0.25">
      <c r="X32" s="34"/>
      <c r="Y32" s="35"/>
      <c r="Z32" s="35"/>
    </row>
  </sheetData>
  <autoFilter ref="A3:Y16" xr:uid="{E8DF07B2-2EED-4903-A717-6CF6018A2206}"/>
  <mergeCells count="1">
    <mergeCell ref="J2:K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5CDB-A30F-457D-BA3C-0407F886AD69}">
  <dimension ref="A2:E42"/>
  <sheetViews>
    <sheetView workbookViewId="0">
      <selection activeCell="B15" sqref="B15"/>
    </sheetView>
  </sheetViews>
  <sheetFormatPr defaultRowHeight="15" x14ac:dyDescent="0.25"/>
  <cols>
    <col min="1" max="1" width="18.28515625" customWidth="1"/>
    <col min="2" max="2" width="130.28515625" customWidth="1"/>
    <col min="3" max="3" width="31.140625" customWidth="1"/>
    <col min="4" max="4" width="23.140625" customWidth="1"/>
    <col min="5" max="5" width="43.5703125" customWidth="1"/>
  </cols>
  <sheetData>
    <row r="2" spans="1:3" x14ac:dyDescent="0.25">
      <c r="A2" t="s">
        <v>48</v>
      </c>
      <c r="B2" s="48" t="s">
        <v>87</v>
      </c>
      <c r="C2" t="s">
        <v>88</v>
      </c>
    </row>
    <row r="3" spans="1:3" x14ac:dyDescent="0.25">
      <c r="B3" s="48" t="s">
        <v>89</v>
      </c>
      <c r="C3" t="s">
        <v>90</v>
      </c>
    </row>
    <row r="4" spans="1:3" x14ac:dyDescent="0.25">
      <c r="B4" t="s">
        <v>91</v>
      </c>
    </row>
    <row r="5" spans="1:3" x14ac:dyDescent="0.25">
      <c r="A5" s="47" t="s">
        <v>92</v>
      </c>
      <c r="B5" s="47" t="s">
        <v>93</v>
      </c>
    </row>
    <row r="6" spans="1:3" x14ac:dyDescent="0.25">
      <c r="A6" s="47"/>
      <c r="B6" s="47" t="s">
        <v>94</v>
      </c>
    </row>
    <row r="8" spans="1:3" x14ac:dyDescent="0.25">
      <c r="A8" t="s">
        <v>95</v>
      </c>
      <c r="B8" t="s">
        <v>96</v>
      </c>
      <c r="C8" t="s">
        <v>97</v>
      </c>
    </row>
    <row r="9" spans="1:3" x14ac:dyDescent="0.25">
      <c r="B9" t="s">
        <v>98</v>
      </c>
    </row>
    <row r="10" spans="1:3" x14ac:dyDescent="0.25">
      <c r="B10" t="s">
        <v>99</v>
      </c>
      <c r="C10" s="48" t="s">
        <v>100</v>
      </c>
    </row>
    <row r="11" spans="1:3" x14ac:dyDescent="0.25">
      <c r="B11" t="s">
        <v>101</v>
      </c>
    </row>
    <row r="12" spans="1:3" x14ac:dyDescent="0.25">
      <c r="B12" t="s">
        <v>102</v>
      </c>
    </row>
    <row r="13" spans="1:3" x14ac:dyDescent="0.25">
      <c r="B13" t="s">
        <v>103</v>
      </c>
    </row>
    <row r="15" spans="1:3" x14ac:dyDescent="0.25">
      <c r="A15" t="s">
        <v>104</v>
      </c>
      <c r="B15" t="s">
        <v>105</v>
      </c>
    </row>
    <row r="17" spans="1:5" x14ac:dyDescent="0.25">
      <c r="A17" t="s">
        <v>106</v>
      </c>
      <c r="B17" t="s">
        <v>107</v>
      </c>
    </row>
    <row r="19" spans="1:5" x14ac:dyDescent="0.25">
      <c r="A19" t="s">
        <v>108</v>
      </c>
      <c r="B19" t="s">
        <v>109</v>
      </c>
    </row>
    <row r="20" spans="1:5" x14ac:dyDescent="0.25">
      <c r="C20" t="s">
        <v>110</v>
      </c>
    </row>
    <row r="21" spans="1:5" x14ac:dyDescent="0.25">
      <c r="A21" t="s">
        <v>111</v>
      </c>
      <c r="B21" t="s">
        <v>112</v>
      </c>
      <c r="C21" t="s">
        <v>113</v>
      </c>
      <c r="D21" s="65" t="s">
        <v>114</v>
      </c>
    </row>
    <row r="22" spans="1:5" x14ac:dyDescent="0.25">
      <c r="C22" t="s">
        <v>115</v>
      </c>
      <c r="D22" s="65"/>
      <c r="E22" t="s">
        <v>116</v>
      </c>
    </row>
    <row r="23" spans="1:5" ht="30" x14ac:dyDescent="0.25">
      <c r="A23" t="s">
        <v>110</v>
      </c>
      <c r="B23" t="s">
        <v>117</v>
      </c>
      <c r="C23" t="s">
        <v>118</v>
      </c>
      <c r="D23" s="65"/>
      <c r="E23" s="44" t="s">
        <v>119</v>
      </c>
    </row>
    <row r="24" spans="1:5" ht="33.75" customHeight="1" x14ac:dyDescent="0.25">
      <c r="B24" s="46" t="s">
        <v>120</v>
      </c>
      <c r="C24" t="s">
        <v>121</v>
      </c>
      <c r="D24" s="65"/>
    </row>
    <row r="25" spans="1:5" x14ac:dyDescent="0.25">
      <c r="B25" t="s">
        <v>122</v>
      </c>
    </row>
    <row r="26" spans="1:5" x14ac:dyDescent="0.25">
      <c r="B26" s="45" t="s">
        <v>123</v>
      </c>
    </row>
    <row r="28" spans="1:5" x14ac:dyDescent="0.25">
      <c r="A28" t="s">
        <v>124</v>
      </c>
      <c r="B28" t="s">
        <v>125</v>
      </c>
    </row>
    <row r="29" spans="1:5" x14ac:dyDescent="0.25">
      <c r="B29" t="s">
        <v>126</v>
      </c>
    </row>
    <row r="30" spans="1:5" x14ac:dyDescent="0.25">
      <c r="B30" t="s">
        <v>127</v>
      </c>
    </row>
    <row r="32" spans="1:5" x14ac:dyDescent="0.25">
      <c r="A32" t="s">
        <v>128</v>
      </c>
      <c r="B32" t="s">
        <v>129</v>
      </c>
    </row>
    <row r="34" spans="1:2" x14ac:dyDescent="0.25">
      <c r="A34" t="s">
        <v>130</v>
      </c>
      <c r="B34" t="s">
        <v>131</v>
      </c>
    </row>
    <row r="35" spans="1:2" x14ac:dyDescent="0.25">
      <c r="B35" t="s">
        <v>132</v>
      </c>
    </row>
    <row r="37" spans="1:2" x14ac:dyDescent="0.25">
      <c r="A37" t="s">
        <v>133</v>
      </c>
      <c r="B37" t="s">
        <v>134</v>
      </c>
    </row>
    <row r="38" spans="1:2" x14ac:dyDescent="0.25">
      <c r="B38" t="s">
        <v>135</v>
      </c>
    </row>
    <row r="40" spans="1:2" x14ac:dyDescent="0.25">
      <c r="A40" t="s">
        <v>136</v>
      </c>
      <c r="B40" t="s">
        <v>137</v>
      </c>
    </row>
    <row r="41" spans="1:2" x14ac:dyDescent="0.25">
      <c r="B41" t="s">
        <v>138</v>
      </c>
    </row>
    <row r="42" spans="1:2" x14ac:dyDescent="0.25">
      <c r="B42" t="s">
        <v>139</v>
      </c>
    </row>
  </sheetData>
  <mergeCells count="1">
    <mergeCell ref="D21:D2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EB4D4B11A4C409F2AFAD30F60D0EC" ma:contentTypeVersion="20" ma:contentTypeDescription="Create a new document." ma:contentTypeScope="" ma:versionID="eaf25ce203f1a397c7e454b56df00329">
  <xsd:schema xmlns:xsd="http://www.w3.org/2001/XMLSchema" xmlns:xs="http://www.w3.org/2001/XMLSchema" xmlns:p="http://schemas.microsoft.com/office/2006/metadata/properties" xmlns:ns1="http://schemas.microsoft.com/sharepoint/v3" xmlns:ns2="cc9cc679-f3a5-4190-8855-1cd4f5f60456" xmlns:ns3="52c01c06-5a5b-47cd-8adc-998020b2b909" targetNamespace="http://schemas.microsoft.com/office/2006/metadata/properties" ma:root="true" ma:fieldsID="e99b6551b06027de2a96162c855fa9ab" ns1:_="" ns2:_="" ns3:_="">
    <xsd:import namespace="http://schemas.microsoft.com/sharepoint/v3"/>
    <xsd:import namespace="cc9cc679-f3a5-4190-8855-1cd4f5f60456"/>
    <xsd:import namespace="52c01c06-5a5b-47cd-8adc-998020b2b9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cc679-f3a5-4190-8855-1cd4f5f60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8e94436-31f2-429a-b026-2f99bd5aca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01c06-5a5b-47cd-8adc-998020b2b90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ac51cae-dbcd-4d51-a2d7-f87da47c66bd}" ma:internalName="TaxCatchAll" ma:showField="CatchAllData" ma:web="52c01c06-5a5b-47cd-8adc-998020b2b9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cc9cc679-f3a5-4190-8855-1cd4f5f60456">
      <Terms xmlns="http://schemas.microsoft.com/office/infopath/2007/PartnerControls"/>
    </lcf76f155ced4ddcb4097134ff3c332f>
    <_ip_UnifiedCompliancePolicyProperties xmlns="http://schemas.microsoft.com/sharepoint/v3" xsi:nil="true"/>
    <TaxCatchAll xmlns="52c01c06-5a5b-47cd-8adc-998020b2b909" xsi:nil="true"/>
  </documentManagement>
</p:properties>
</file>

<file path=customXml/itemProps1.xml><?xml version="1.0" encoding="utf-8"?>
<ds:datastoreItem xmlns:ds="http://schemas.openxmlformats.org/officeDocument/2006/customXml" ds:itemID="{B2DDCFFF-FD57-4E31-A374-C820C766F9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AAD90F-3D1D-4F3F-9319-0B2DAC2B89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c9cc679-f3a5-4190-8855-1cd4f5f60456"/>
    <ds:schemaRef ds:uri="52c01c06-5a5b-47cd-8adc-998020b2b9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72EC3C-6570-45C6-96B5-9E5DF2A8ABA1}">
  <ds:schemaRefs>
    <ds:schemaRef ds:uri="http://schemas.microsoft.com/office/infopath/2007/PartnerControls"/>
    <ds:schemaRef ds:uri="http://purl.org/dc/terms/"/>
    <ds:schemaRef ds:uri="http://schemas.microsoft.com/sharepoint/v3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cc9cc679-f3a5-4190-8855-1cd4f5f60456"/>
    <ds:schemaRef ds:uri="http://schemas.openxmlformats.org/package/2006/metadata/core-properties"/>
    <ds:schemaRef ds:uri="52c01c06-5a5b-47cd-8adc-998020b2b90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FY26 Data Mgmt Grid</vt:lpstr>
      <vt:lpstr>Ideas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Cheney, James</dc:creator>
  <cp:keywords/>
  <dc:description/>
  <cp:lastModifiedBy>Malloy, Conner</cp:lastModifiedBy>
  <cp:revision/>
  <dcterms:created xsi:type="dcterms:W3CDTF">2024-04-18T14:28:00Z</dcterms:created>
  <dcterms:modified xsi:type="dcterms:W3CDTF">2026-09-30T15:15:09Z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06494a-bfc2-4f46-ab17-24d8fac696a6_Enabled">
    <vt:lpwstr>true</vt:lpwstr>
  </property>
  <property fmtid="{D5CDD505-2E9C-101B-9397-08002B2CF9AE}" pid="3" name="MSIP_Label_d706494a-bfc2-4f46-ab17-24d8fac696a6_SetDate">
    <vt:lpwstr>2024-04-18T14:28:37Z</vt:lpwstr>
  </property>
  <property fmtid="{D5CDD505-2E9C-101B-9397-08002B2CF9AE}" pid="4" name="MSIP_Label_d706494a-bfc2-4f46-ab17-24d8fac696a6_Method">
    <vt:lpwstr>Standard</vt:lpwstr>
  </property>
  <property fmtid="{D5CDD505-2E9C-101B-9397-08002B2CF9AE}" pid="5" name="MSIP_Label_d706494a-bfc2-4f46-ab17-24d8fac696a6_Name">
    <vt:lpwstr>Public2</vt:lpwstr>
  </property>
  <property fmtid="{D5CDD505-2E9C-101B-9397-08002B2CF9AE}" pid="6" name="MSIP_Label_d706494a-bfc2-4f46-ab17-24d8fac696a6_SiteId">
    <vt:lpwstr>b110eddf-23ae-457c-a6f3-734d592b2847</vt:lpwstr>
  </property>
  <property fmtid="{D5CDD505-2E9C-101B-9397-08002B2CF9AE}" pid="7" name="MSIP_Label_d706494a-bfc2-4f46-ab17-24d8fac696a6_ActionId">
    <vt:lpwstr>def26efd-85b0-4e88-95be-590160f1a74d</vt:lpwstr>
  </property>
  <property fmtid="{D5CDD505-2E9C-101B-9397-08002B2CF9AE}" pid="8" name="MSIP_Label_d706494a-bfc2-4f46-ab17-24d8fac696a6_ContentBits">
    <vt:lpwstr>0</vt:lpwstr>
  </property>
  <property fmtid="{D5CDD505-2E9C-101B-9397-08002B2CF9AE}" pid="9" name="ContentTypeId">
    <vt:lpwstr>0x010100EF1EB4D4B11A4C409F2AFAD30F60D0EC</vt:lpwstr>
  </property>
  <property fmtid="{D5CDD505-2E9C-101B-9397-08002B2CF9AE}" pid="10" name="MediaServiceImageTags">
    <vt:lpwstr/>
  </property>
</Properties>
</file>